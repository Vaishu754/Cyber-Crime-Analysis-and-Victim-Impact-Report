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data" sheetId="1" state="visible" r:id="rId3"/>
    <sheet name="Analysis" sheetId="2" state="visible" r:id="rId4"/>
    <sheet name="Dashboard" sheetId="3" state="visible" r:id="rId5"/>
  </sheets>
  <definedNames>
    <definedName function="false" hidden="true" localSheetId="0" name="_xlnm._FilterDatabase" vbProcedure="false">'Raw data'!$A$1:$J$51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<sst xmlns="http://schemas.openxmlformats.org/spreadsheetml/2006/main" count="353" uniqueCount="63">
  <si>
    <t xml:space="preserve">s.no</t>
  </si>
  <si>
    <t xml:space="preserve">Scam_Type</t>
  </si>
  <si>
    <t xml:space="preserve">Platform</t>
  </si>
  <si>
    <t xml:space="preserve">victim_age</t>
  </si>
  <si>
    <t xml:space="preserve">Gender</t>
  </si>
  <si>
    <t xml:space="preserve">Amount_lost</t>
  </si>
  <si>
    <t xml:space="preserve">payment_method</t>
  </si>
  <si>
    <t xml:space="preserve">country</t>
  </si>
  <si>
    <t xml:space="preserve">Reported_to</t>
  </si>
  <si>
    <t xml:space="preserve">year</t>
  </si>
  <si>
    <t xml:space="preserve">Phishing</t>
  </si>
  <si>
    <t xml:space="preserve">Email</t>
  </si>
  <si>
    <t xml:space="preserve">Male</t>
  </si>
  <si>
    <t xml:space="preserve">UPI</t>
  </si>
  <si>
    <t xml:space="preserve">India</t>
  </si>
  <si>
    <t xml:space="preserve">Cyber Crime Portal</t>
  </si>
  <si>
    <t xml:space="preserve">Lottery Scam</t>
  </si>
  <si>
    <t xml:space="preserve">WhatsApp</t>
  </si>
  <si>
    <t xml:space="preserve">Female</t>
  </si>
  <si>
    <t xml:space="preserve">Bank Transfer</t>
  </si>
  <si>
    <t xml:space="preserve">Local Police</t>
  </si>
  <si>
    <t xml:space="preserve">Investment Scam</t>
  </si>
  <si>
    <t xml:space="preserve">Instagram</t>
  </si>
  <si>
    <t xml:space="preserve">Credit Card</t>
  </si>
  <si>
    <t xml:space="preserve">USA</t>
  </si>
  <si>
    <t xml:space="preserve">Fake Shopping</t>
  </si>
  <si>
    <t xml:space="preserve">Website</t>
  </si>
  <si>
    <t xml:space="preserve">Debit Card</t>
  </si>
  <si>
    <t xml:space="preserve">Bank</t>
  </si>
  <si>
    <t xml:space="preserve">Telegram</t>
  </si>
  <si>
    <t xml:space="preserve">Crypto</t>
  </si>
  <si>
    <t xml:space="preserve">UK</t>
  </si>
  <si>
    <t xml:space="preserve">Not Reported</t>
  </si>
  <si>
    <t xml:space="preserve">Canada</t>
  </si>
  <si>
    <t xml:space="preserve">Facebook</t>
  </si>
  <si>
    <t xml:space="preserve">TOP SUMMARY METRICS</t>
  </si>
  <si>
    <t xml:space="preserve">SCAM TYPE TABLE</t>
  </si>
  <si>
    <t xml:space="preserve">Metrics</t>
  </si>
  <si>
    <t xml:space="preserve">Formula</t>
  </si>
  <si>
    <t xml:space="preserve">Scam Type</t>
  </si>
  <si>
    <t xml:space="preserve">Number of Victims</t>
  </si>
  <si>
    <t xml:space="preserve">Total Lost Rupees Formula</t>
  </si>
  <si>
    <t xml:space="preserve">Total Victims</t>
  </si>
  <si>
    <t xml:space="preserve">Average_age</t>
  </si>
  <si>
    <t xml:space="preserve">Highest Loss</t>
  </si>
  <si>
    <t xml:space="preserve">Lowest Loss</t>
  </si>
  <si>
    <t xml:space="preserve">Total</t>
  </si>
  <si>
    <t xml:space="preserve">Reported Cases</t>
  </si>
  <si>
    <t xml:space="preserve">Count</t>
  </si>
  <si>
    <t xml:space="preserve">PLATFORM TABLE</t>
  </si>
  <si>
    <t xml:space="preserve">Cybercrime Portal</t>
  </si>
  <si>
    <t xml:space="preserve">PLATFORM </t>
  </si>
  <si>
    <t xml:space="preserve">Total loss Rupees Formula</t>
  </si>
  <si>
    <t xml:space="preserve">Whatsapp</t>
  </si>
  <si>
    <t xml:space="preserve">Not Reported Cases</t>
  </si>
  <si>
    <t xml:space="preserve">Unique Countries</t>
  </si>
  <si>
    <t xml:space="preserve">Cyber Crime Analysis Dashboard</t>
  </si>
  <si>
    <t xml:space="preserve">Victim Impact Report(2025-2026)</t>
  </si>
  <si>
    <t xml:space="preserve">Amount_Lost</t>
  </si>
  <si>
    <t xml:space="preserve">Average_Age</t>
  </si>
  <si>
    <t xml:space="preserve">Highest_loss</t>
  </si>
  <si>
    <t xml:space="preserve">Lowest_loss</t>
  </si>
  <si>
    <t xml:space="preserve">kkk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</si>
</sst>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₹-4009]#,##0.00;[RED]\-[$₹-4009]#,##0.00"/>
    <numFmt numFmtId="166" formatCode="@"/>
    <numFmt numFmtId="167" formatCode="0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40"/>
      <name val="Arial"/>
      <family val="2"/>
      <charset val="1"/>
    </font>
    <font>
      <b val="true"/>
      <sz val="26"/>
      <name val="Arial"/>
      <family val="2"/>
      <charset val="1"/>
    </font>
    <font>
      <sz val="26"/>
      <name val="Arial"/>
      <family val="2"/>
      <charset val="1"/>
    </font>
    <font>
      <sz val="15"/>
      <name val="Arial"/>
      <family val="2"/>
      <charset val="1"/>
    </font>
    <font>
      <b val="true"/>
      <sz val="24"/>
      <name val="Arial"/>
      <family val="2"/>
      <charset val="1"/>
    </font>
    <font>
      <sz val="40"/>
      <name val="Arial"/>
      <family val="2"/>
      <charset val="1"/>
    </font>
    <font>
      <sz val="20"/>
      <name val="Arial"/>
      <family val="2"/>
      <charset val="1"/>
    </font>
    <font>
      <sz val="2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32"/>
      <name val="Times New Roman"/>
      <family val="0"/>
    </font>
    <font>
      <sz val="12"/>
      <name val="Times New Roman"/>
      <family val="0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158466"/>
        <bgColor rgb="FF009353"/>
      </patternFill>
    </fill>
    <fill>
      <patternFill patternType="solid">
        <fgColor rgb="FF009353"/>
        <bgColor rgb="FF158466"/>
      </patternFill>
    </fill>
    <fill>
      <patternFill patternType="solid">
        <fgColor rgb="FFDDDDDD"/>
        <bgColor rgb="FFBEE3D3"/>
      </patternFill>
    </fill>
    <fill>
      <patternFill patternType="solid">
        <fgColor rgb="FF77BC65"/>
        <bgColor rgb="FF3FAF46"/>
      </patternFill>
    </fill>
    <fill>
      <patternFill patternType="solid">
        <fgColor rgb="FFBEE3D3"/>
        <bgColor rgb="FFDDDDDD"/>
      </patternFill>
    </fill>
    <fill>
      <patternFill patternType="solid">
        <fgColor rgb="FF3FAF46"/>
        <bgColor rgb="FF579D1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9353"/>
      </left>
      <right/>
      <top style="thin">
        <color rgb="FF009353"/>
      </top>
      <bottom/>
      <diagonal/>
    </border>
    <border diagonalUp="false" diagonalDown="false">
      <left/>
      <right/>
      <top style="thin">
        <color rgb="FF009353"/>
      </top>
      <bottom/>
      <diagonal/>
    </border>
    <border diagonalUp="false" diagonalDown="false">
      <left/>
      <right style="thin">
        <color rgb="FF009353"/>
      </right>
      <top style="thin">
        <color rgb="FF009353"/>
      </top>
      <bottom/>
      <diagonal/>
    </border>
    <border diagonalUp="false" diagonalDown="false">
      <left style="thin">
        <color rgb="FF009353"/>
      </left>
      <right/>
      <top/>
      <bottom/>
      <diagonal/>
    </border>
    <border diagonalUp="false" diagonalDown="false">
      <left/>
      <right style="thin">
        <color rgb="FF009353"/>
      </right>
      <top/>
      <bottom/>
      <diagonal/>
    </border>
    <border diagonalUp="false" diagonalDown="false">
      <left style="thin">
        <color rgb="FF009353"/>
      </left>
      <right/>
      <top/>
      <bottom style="thin">
        <color rgb="FF009353"/>
      </bottom>
      <diagonal/>
    </border>
    <border diagonalUp="false" diagonalDown="false">
      <left/>
      <right/>
      <top/>
      <bottom style="thin">
        <color rgb="FF009353"/>
      </bottom>
      <diagonal/>
    </border>
    <border diagonalUp="false" diagonalDown="false">
      <left/>
      <right style="thin">
        <color rgb="FF009353"/>
      </right>
      <top/>
      <bottom style="thin">
        <color rgb="FF00935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8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579D1C"/>
      <rgbColor rgb="FF800080"/>
      <rgbColor rgb="FF158466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9353"/>
      <rgbColor rgb="FF0000FF"/>
      <rgbColor rgb="FF00CCFF"/>
      <rgbColor rgb="FFCCFFFF"/>
      <rgbColor rgb="FFBEE3D3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77BC65"/>
      <rgbColor rgb="FF00458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Financial Loss by Scam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Analysis!$G$3</c:f>
              <c:strCache>
                <c:ptCount val="1"/>
                <c:pt idx="0">
                  <c:v>Total Lost Rupees Formula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Analysis!$E$4:$E$7</c:f>
              <c:strCache>
                <c:ptCount val="4"/>
                <c:pt idx="0">
                  <c:v>Phishing</c:v>
                </c:pt>
                <c:pt idx="1">
                  <c:v>Lottery Scam</c:v>
                </c:pt>
                <c:pt idx="2">
                  <c:v>Investment Scam</c:v>
                </c:pt>
                <c:pt idx="3">
                  <c:v>Fake Shopping</c:v>
                </c:pt>
              </c:strCache>
            </c:strRef>
          </c:cat>
          <c:val>
            <c:numRef>
              <c:f>Analysis!$G$4:$G$7</c:f>
              <c:numCache>
                <c:formatCode>General</c:formatCode>
                <c:ptCount val="4"/>
                <c:pt idx="0">
                  <c:v>7140</c:v>
                </c:pt>
                <c:pt idx="1">
                  <c:v>3230</c:v>
                </c:pt>
                <c:pt idx="2">
                  <c:v>55200</c:v>
                </c:pt>
                <c:pt idx="3">
                  <c:v>1830</c:v>
                </c:pt>
              </c:numCache>
            </c:numRef>
          </c:val>
        </c:ser>
        <c:gapWidth val="100"/>
        <c:overlap val="0"/>
        <c:axId val="82355125"/>
        <c:axId val="99042733"/>
      </c:barChart>
      <c:catAx>
        <c:axId val="823551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042733"/>
        <c:crosses val="autoZero"/>
        <c:auto val="1"/>
        <c:lblAlgn val="ctr"/>
        <c:lblOffset val="100"/>
        <c:noMultiLvlLbl val="0"/>
      </c:catAx>
      <c:valAx>
        <c:axId val="990427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₹-4009]#,##0.00;[RED]\-[$₹-40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2355125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2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Where Victims Reported the Scams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Analysis!$C$10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Analysis!$B$11:$B$14</c:f>
              <c:strCache>
                <c:ptCount val="4"/>
                <c:pt idx="0">
                  <c:v>Cybercrime Portal</c:v>
                </c:pt>
                <c:pt idx="1">
                  <c:v>Local Police</c:v>
                </c:pt>
                <c:pt idx="2">
                  <c:v>Bank</c:v>
                </c:pt>
                <c:pt idx="3">
                  <c:v>Not Reported Cases</c:v>
                </c:pt>
              </c:strCache>
            </c:strRef>
          </c:cat>
          <c:val>
            <c:numRef>
              <c:f>Analysis!$C$11:$C$14</c:f>
              <c:numCache>
                <c:formatCode>General</c:formatCode>
                <c:ptCount val="4"/>
                <c:pt idx="0">
                  <c:v>22</c:v>
                </c:pt>
                <c:pt idx="1">
                  <c:v>12</c:v>
                </c:pt>
                <c:pt idx="2">
                  <c:v>10</c:v>
                </c:pt>
                <c:pt idx="3">
                  <c:v>6</c:v>
                </c:pt>
              </c:numCache>
            </c:numRef>
          </c:val>
        </c:ser>
        <c:gapWidth val="100"/>
        <c:overlap val="0"/>
        <c:axId val="7931529"/>
        <c:axId val="65602173"/>
      </c:barChart>
      <c:catAx>
        <c:axId val="793152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Reported To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5602173"/>
        <c:crosses val="autoZero"/>
        <c:auto val="1"/>
        <c:lblAlgn val="ctr"/>
        <c:lblOffset val="100"/>
        <c:noMultiLvlLbl val="0"/>
      </c:catAx>
      <c:valAx>
        <c:axId val="656021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Number of Victims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93152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Most Common Scam Types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Analysis!$F$3</c:f>
              <c:strCache>
                <c:ptCount val="1"/>
                <c:pt idx="0">
                  <c:v>Number of Victims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Analysis!$E$4:$E$7</c:f>
              <c:strCache>
                <c:ptCount val="4"/>
                <c:pt idx="0">
                  <c:v>Phishing</c:v>
                </c:pt>
                <c:pt idx="1">
                  <c:v>Lottery Scam</c:v>
                </c:pt>
                <c:pt idx="2">
                  <c:v>Investment Scam</c:v>
                </c:pt>
                <c:pt idx="3">
                  <c:v>Fake Shopping</c:v>
                </c:pt>
              </c:strCache>
            </c:strRef>
          </c:cat>
          <c:val>
            <c:numRef>
              <c:f>Analysis!$F$4:$F$7</c:f>
              <c:numCache>
                <c:formatCode>General</c:formatCode>
                <c:ptCount val="4"/>
                <c:pt idx="0">
                  <c:v>14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</c:numCache>
            </c:numRef>
          </c:val>
        </c:ser>
        <c:gapWidth val="100"/>
        <c:overlap val="0"/>
        <c:axId val="13802087"/>
        <c:axId val="84997774"/>
      </c:barChart>
      <c:catAx>
        <c:axId val="13802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Scam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4997774"/>
        <c:crosses val="autoZero"/>
        <c:auto val="1"/>
        <c:lblAlgn val="ctr"/>
        <c:lblOffset val="100"/>
        <c:noMultiLvlLbl val="0"/>
      </c:catAx>
      <c:valAx>
        <c:axId val="849977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Number of Victim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80208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Platforms Used for Online Scams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 </c:separator>
            </c:dLbl>
            <c:dLbl>
              <c:idx val="1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 </c:separator>
            </c:dLbl>
            <c:dLbl>
              <c:idx val="2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 </c:separator>
            </c:dLbl>
            <c:dLbl>
              <c:idx val="3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 </c:separator>
            </c:dLbl>
            <c:dLbl>
              <c:idx val="4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 </c:separator>
            </c:dLbl>
            <c:dLbl>
              <c:idx val="5"/>
              <c:numFmt formatCode="General" sourceLinked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 </c:separator>
            </c:dLbl>
            <c:numFmt formatCode="General" sourceLinked="1"/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Analysis!$E$13:$E$18</c:f>
              <c:strCache>
                <c:ptCount val="6"/>
                <c:pt idx="0">
                  <c:v>Whatsapp</c:v>
                </c:pt>
                <c:pt idx="1">
                  <c:v>Instagram</c:v>
                </c:pt>
                <c:pt idx="2">
                  <c:v>Email</c:v>
                </c:pt>
                <c:pt idx="3">
                  <c:v>Website</c:v>
                </c:pt>
                <c:pt idx="4">
                  <c:v>Facebook</c:v>
                </c:pt>
                <c:pt idx="5">
                  <c:v>Telegram</c:v>
                </c:pt>
              </c:strCache>
            </c:strRef>
          </c:cat>
          <c:val>
            <c:numRef>
              <c:f>Analysis!$F$13:$F$18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14</c:v>
                </c:pt>
                <c:pt idx="3">
                  <c:v>11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2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708840</xdr:colOff>
      <xdr:row>61</xdr:row>
      <xdr:rowOff>18360</xdr:rowOff>
    </xdr:from>
    <xdr:to>
      <xdr:col>24</xdr:col>
      <xdr:colOff>678600</xdr:colOff>
      <xdr:row>109</xdr:row>
      <xdr:rowOff>157680</xdr:rowOff>
    </xdr:to>
    <xdr:graphicFrame>
      <xdr:nvGraphicFramePr>
        <xdr:cNvPr id="1" name=""/>
        <xdr:cNvGraphicFramePr/>
      </xdr:nvGraphicFramePr>
      <xdr:xfrm>
        <a:off x="13186080" y="12609720"/>
        <a:ext cx="11349000" cy="794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60</xdr:row>
      <xdr:rowOff>143640</xdr:rowOff>
    </xdr:from>
    <xdr:to>
      <xdr:col>9</xdr:col>
      <xdr:colOff>804600</xdr:colOff>
      <xdr:row>109</xdr:row>
      <xdr:rowOff>30240</xdr:rowOff>
    </xdr:to>
    <xdr:graphicFrame>
      <xdr:nvGraphicFramePr>
        <xdr:cNvPr id="2" name=""/>
        <xdr:cNvGraphicFramePr/>
      </xdr:nvGraphicFramePr>
      <xdr:xfrm>
        <a:off x="0" y="12572640"/>
        <a:ext cx="11586240" cy="785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16</xdr:row>
      <xdr:rowOff>11880</xdr:rowOff>
    </xdr:from>
    <xdr:to>
      <xdr:col>9</xdr:col>
      <xdr:colOff>723960</xdr:colOff>
      <xdr:row>52</xdr:row>
      <xdr:rowOff>183240</xdr:rowOff>
    </xdr:to>
    <xdr:graphicFrame>
      <xdr:nvGraphicFramePr>
        <xdr:cNvPr id="3" name=""/>
        <xdr:cNvGraphicFramePr/>
      </xdr:nvGraphicFramePr>
      <xdr:xfrm>
        <a:off x="0" y="4692600"/>
        <a:ext cx="11505600" cy="647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132840</xdr:colOff>
      <xdr:row>16</xdr:row>
      <xdr:rowOff>0</xdr:rowOff>
    </xdr:from>
    <xdr:to>
      <xdr:col>24</xdr:col>
      <xdr:colOff>645840</xdr:colOff>
      <xdr:row>51</xdr:row>
      <xdr:rowOff>542160</xdr:rowOff>
    </xdr:to>
    <xdr:graphicFrame>
      <xdr:nvGraphicFramePr>
        <xdr:cNvPr id="4" name=""/>
        <xdr:cNvGraphicFramePr/>
      </xdr:nvGraphicFramePr>
      <xdr:xfrm>
        <a:off x="13422600" y="4680720"/>
        <a:ext cx="11079720" cy="623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32</xdr:col>
      <xdr:colOff>99000</xdr:colOff>
      <xdr:row>13</xdr:row>
      <xdr:rowOff>142560</xdr:rowOff>
    </xdr:from>
    <xdr:to>
      <xdr:col>43</xdr:col>
      <xdr:colOff>72720</xdr:colOff>
      <xdr:row>52</xdr:row>
      <xdr:rowOff>105120</xdr:rowOff>
    </xdr:to>
    <xdr:sp>
      <xdr:nvSpPr>
        <xdr:cNvPr id="5" name="Text Frame 1"/>
        <xdr:cNvSpPr/>
      </xdr:nvSpPr>
      <xdr:spPr>
        <a:xfrm>
          <a:off x="30457800" y="4335480"/>
          <a:ext cx="8914320" cy="6750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Executive Summary &amp; Insights:</a:t>
          </a:r>
          <a:endParaRPr lang="en-IN" sz="3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Financial Impact: Investment Scams are the most damaging, responsible for ₹55,200 in losses—nearly 82% of the total money lost.</a:t>
          </a:r>
          <a:endParaRPr lang="en-IN" sz="3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High-Volume Threats: Phishing remains the most frequent attack method with 14 documented victims, showing that basic link-based scams are still highly effective.</a:t>
          </a:r>
          <a:endParaRPr lang="en-IN" sz="3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Platform Vulnerability: Social media and messaging apps (Instagram, Telegram, WhatsApp) are the primary hunting grounds for scammers, totaling 20 victims combined.</a:t>
          </a:r>
          <a:endParaRPr lang="en-IN" sz="3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Reporting Gap: Only 44% of cases (22 out of 50) were reported to the official Cybercrime Portal, indicating a major need for better victim awarenes</a:t>
          </a:r>
          <a:r>
            <a:rPr lang="en-IN" sz="1200" b="0" u="none" strike="noStrike">
              <a:effectLst/>
              <a:uFillTx/>
              <a:latin typeface="Times New Roman"/>
            </a:rPr>
            <a:t>s.</a:t>
          </a:r>
          <a:endParaRPr lang="en-IN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32</xdr:col>
      <xdr:colOff>248760</xdr:colOff>
      <xdr:row>67</xdr:row>
      <xdr:rowOff>64440</xdr:rowOff>
    </xdr:from>
    <xdr:to>
      <xdr:col>42</xdr:col>
      <xdr:colOff>335160</xdr:colOff>
      <xdr:row>111</xdr:row>
      <xdr:rowOff>37800</xdr:rowOff>
    </xdr:to>
    <xdr:sp>
      <xdr:nvSpPr>
        <xdr:cNvPr id="6" name="Text Frame 2"/>
        <xdr:cNvSpPr/>
      </xdr:nvSpPr>
      <xdr:spPr>
        <a:xfrm>
          <a:off x="30607560" y="13631040"/>
          <a:ext cx="8214480" cy="7126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Critical Safety Action Plan</a:t>
          </a:r>
          <a:endParaRPr lang="en-IN" sz="3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Strict Verification: Before transferring any funds, verify the identity of the person or platform, especially for "high-return" investment offers.</a:t>
          </a:r>
          <a:endParaRPr lang="en-IN" sz="3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Digital Hygiene: Never click on unsolicited links received via Email or WhatsApp; always use official apps or websites.</a:t>
          </a:r>
          <a:endParaRPr lang="en-IN" sz="3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3200" b="0" u="none" strike="noStrike">
              <a:effectLst/>
              <a:uFillTx/>
              <a:latin typeface="Times New Roman"/>
            </a:rPr>
            <a:t>Immediate Reporting: Victims should report any suspicious activity to 1930 or the Cybercrime Portal within the "Golden Hour" to help freeze fraudulent transactions.</a:t>
          </a:r>
          <a:endParaRPr lang="en-IN" sz="3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20" zoomScaleNormal="20" zoomScalePageLayoutView="100" workbookViewId="0">
      <pane xSplit="0" ySplit="1" topLeftCell="A2" activePane="bottomLeft" state="frozen"/>
      <selection pane="topLeft" activeCell="A1" activeCellId="0" sqref="A1"/>
      <selection pane="bottomLeft" activeCell="M29" activeCellId="0" sqref="M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97"/>
    <col collapsed="false" customWidth="true" hidden="false" outlineLevel="0" max="2" min="2" style="1" width="27.83"/>
    <col collapsed="false" customWidth="true" hidden="false" outlineLevel="0" max="3" min="3" style="1" width="16.36"/>
    <col collapsed="false" customWidth="true" hidden="false" outlineLevel="0" max="4" min="4" style="1" width="15.28"/>
    <col collapsed="false" customWidth="true" hidden="false" outlineLevel="0" max="5" min="5" style="1" width="14.29"/>
    <col collapsed="false" customWidth="true" hidden="false" outlineLevel="0" max="6" min="6" style="2" width="20.99"/>
    <col collapsed="false" customWidth="true" hidden="false" outlineLevel="0" max="7" min="7" style="1" width="17.98"/>
    <col collapsed="false" customWidth="false" hidden="false" outlineLevel="0" max="8" min="8" style="1" width="11.53"/>
    <col collapsed="false" customWidth="true" hidden="false" outlineLevel="0" max="9" min="9" style="1" width="21.19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</row>
    <row r="2" customFormat="false" ht="12.8" hidden="false" customHeight="false" outlineLevel="0" collapsed="false">
      <c r="A2" s="4" t="n">
        <v>1</v>
      </c>
      <c r="B2" s="4" t="s">
        <v>10</v>
      </c>
      <c r="C2" s="4" t="s">
        <v>11</v>
      </c>
      <c r="D2" s="4" t="n">
        <v>45</v>
      </c>
      <c r="E2" s="4" t="s">
        <v>12</v>
      </c>
      <c r="F2" s="5" t="n">
        <v>500</v>
      </c>
      <c r="G2" s="4" t="s">
        <v>13</v>
      </c>
      <c r="H2" s="4" t="s">
        <v>14</v>
      </c>
      <c r="I2" s="4" t="s">
        <v>15</v>
      </c>
      <c r="J2" s="4" t="n">
        <v>2025</v>
      </c>
      <c r="K2" s="4"/>
    </row>
    <row r="3" customFormat="false" ht="12.8" hidden="false" customHeight="false" outlineLevel="0" collapsed="false">
      <c r="A3" s="4" t="n">
        <v>2</v>
      </c>
      <c r="B3" s="4" t="s">
        <v>16</v>
      </c>
      <c r="C3" s="4" t="s">
        <v>17</v>
      </c>
      <c r="D3" s="4" t="n">
        <v>30</v>
      </c>
      <c r="E3" s="4" t="s">
        <v>18</v>
      </c>
      <c r="F3" s="5" t="n">
        <v>200</v>
      </c>
      <c r="G3" s="4" t="s">
        <v>19</v>
      </c>
      <c r="H3" s="4" t="s">
        <v>14</v>
      </c>
      <c r="I3" s="4" t="s">
        <v>20</v>
      </c>
      <c r="J3" s="4" t="n">
        <v>2025</v>
      </c>
      <c r="K3" s="4"/>
    </row>
    <row r="4" customFormat="false" ht="12.8" hidden="false" customHeight="false" outlineLevel="0" collapsed="false">
      <c r="A4" s="4" t="n">
        <v>3</v>
      </c>
      <c r="B4" s="4" t="s">
        <v>21</v>
      </c>
      <c r="C4" s="4" t="s">
        <v>22</v>
      </c>
      <c r="D4" s="4" t="n">
        <v>52</v>
      </c>
      <c r="E4" s="4" t="s">
        <v>12</v>
      </c>
      <c r="F4" s="5" t="n">
        <v>2000</v>
      </c>
      <c r="G4" s="4" t="s">
        <v>23</v>
      </c>
      <c r="H4" s="4" t="s">
        <v>24</v>
      </c>
      <c r="I4" s="4" t="s">
        <v>15</v>
      </c>
      <c r="J4" s="4" t="n">
        <v>2025</v>
      </c>
      <c r="K4" s="4"/>
    </row>
    <row r="5" customFormat="false" ht="12.8" hidden="false" customHeight="false" outlineLevel="0" collapsed="false">
      <c r="A5" s="4" t="n">
        <v>4</v>
      </c>
      <c r="B5" s="4" t="s">
        <v>25</v>
      </c>
      <c r="C5" s="4" t="s">
        <v>26</v>
      </c>
      <c r="D5" s="4" t="n">
        <v>28</v>
      </c>
      <c r="E5" s="4" t="s">
        <v>18</v>
      </c>
      <c r="F5" s="5" t="n">
        <v>150</v>
      </c>
      <c r="G5" s="4" t="s">
        <v>27</v>
      </c>
      <c r="H5" s="4" t="s">
        <v>14</v>
      </c>
      <c r="I5" s="4" t="s">
        <v>28</v>
      </c>
      <c r="J5" s="4" t="n">
        <v>2025</v>
      </c>
      <c r="K5" s="4"/>
    </row>
    <row r="6" customFormat="false" ht="12.8" hidden="false" customHeight="false" outlineLevel="0" collapsed="false">
      <c r="A6" s="4" t="n">
        <v>5</v>
      </c>
      <c r="B6" s="4" t="s">
        <v>10</v>
      </c>
      <c r="C6" s="4" t="s">
        <v>11</v>
      </c>
      <c r="D6" s="4" t="n">
        <v>34</v>
      </c>
      <c r="E6" s="4" t="s">
        <v>12</v>
      </c>
      <c r="F6" s="5" t="n">
        <v>300</v>
      </c>
      <c r="G6" s="4" t="s">
        <v>13</v>
      </c>
      <c r="H6" s="4" t="s">
        <v>14</v>
      </c>
      <c r="I6" s="4" t="s">
        <v>15</v>
      </c>
      <c r="J6" s="4" t="n">
        <v>2025</v>
      </c>
      <c r="K6" s="4"/>
    </row>
    <row r="7" customFormat="false" ht="12.8" hidden="false" customHeight="false" outlineLevel="0" collapsed="false">
      <c r="A7" s="4" t="n">
        <v>6</v>
      </c>
      <c r="B7" s="4" t="s">
        <v>21</v>
      </c>
      <c r="C7" s="4" t="s">
        <v>29</v>
      </c>
      <c r="D7" s="4" t="n">
        <v>41</v>
      </c>
      <c r="E7" s="4" t="s">
        <v>18</v>
      </c>
      <c r="F7" s="5" t="n">
        <v>3500</v>
      </c>
      <c r="G7" s="4" t="s">
        <v>30</v>
      </c>
      <c r="H7" s="4" t="s">
        <v>31</v>
      </c>
      <c r="I7" s="4" t="s">
        <v>15</v>
      </c>
      <c r="J7" s="4" t="n">
        <v>2025</v>
      </c>
      <c r="K7" s="4"/>
    </row>
    <row r="8" customFormat="false" ht="12.8" hidden="false" customHeight="false" outlineLevel="0" collapsed="false">
      <c r="A8" s="4" t="n">
        <v>7</v>
      </c>
      <c r="B8" s="4" t="s">
        <v>16</v>
      </c>
      <c r="C8" s="4" t="s">
        <v>17</v>
      </c>
      <c r="D8" s="4" t="n">
        <v>29</v>
      </c>
      <c r="E8" s="4" t="s">
        <v>12</v>
      </c>
      <c r="F8" s="5" t="n">
        <v>250</v>
      </c>
      <c r="G8" s="4" t="s">
        <v>13</v>
      </c>
      <c r="H8" s="4" t="s">
        <v>14</v>
      </c>
      <c r="I8" s="4" t="s">
        <v>32</v>
      </c>
      <c r="J8" s="4" t="n">
        <v>2025</v>
      </c>
      <c r="K8" s="4"/>
    </row>
    <row r="9" customFormat="false" ht="12.8" hidden="false" customHeight="false" outlineLevel="0" collapsed="false">
      <c r="A9" s="4" t="n">
        <v>8</v>
      </c>
      <c r="B9" s="4" t="s">
        <v>10</v>
      </c>
      <c r="C9" s="4" t="s">
        <v>11</v>
      </c>
      <c r="D9" s="4" t="n">
        <v>50</v>
      </c>
      <c r="E9" s="4" t="s">
        <v>18</v>
      </c>
      <c r="F9" s="5" t="n">
        <v>700</v>
      </c>
      <c r="G9" s="4" t="s">
        <v>23</v>
      </c>
      <c r="H9" s="4" t="s">
        <v>24</v>
      </c>
      <c r="I9" s="4" t="s">
        <v>28</v>
      </c>
      <c r="J9" s="4" t="n">
        <v>2025</v>
      </c>
      <c r="K9" s="4"/>
    </row>
    <row r="10" customFormat="false" ht="12.8" hidden="false" customHeight="false" outlineLevel="0" collapsed="false">
      <c r="A10" s="4" t="n">
        <v>9</v>
      </c>
      <c r="B10" s="4" t="s">
        <v>25</v>
      </c>
      <c r="C10" s="4" t="s">
        <v>26</v>
      </c>
      <c r="D10" s="4" t="n">
        <v>26</v>
      </c>
      <c r="E10" s="4" t="s">
        <v>12</v>
      </c>
      <c r="F10" s="5" t="n">
        <v>180</v>
      </c>
      <c r="G10" s="4" t="s">
        <v>27</v>
      </c>
      <c r="H10" s="4" t="s">
        <v>14</v>
      </c>
      <c r="I10" s="4" t="s">
        <v>20</v>
      </c>
      <c r="J10" s="4" t="n">
        <v>2025</v>
      </c>
      <c r="K10" s="4"/>
    </row>
    <row r="11" customFormat="false" ht="12.8" hidden="false" customHeight="false" outlineLevel="0" collapsed="false">
      <c r="A11" s="4" t="n">
        <v>10</v>
      </c>
      <c r="B11" s="4" t="s">
        <v>21</v>
      </c>
      <c r="C11" s="4" t="s">
        <v>22</v>
      </c>
      <c r="D11" s="4" t="n">
        <v>48</v>
      </c>
      <c r="E11" s="4" t="s">
        <v>12</v>
      </c>
      <c r="F11" s="5" t="n">
        <v>4200</v>
      </c>
      <c r="G11" s="4" t="s">
        <v>19</v>
      </c>
      <c r="H11" s="4" t="s">
        <v>33</v>
      </c>
      <c r="I11" s="4" t="s">
        <v>15</v>
      </c>
      <c r="J11" s="4" t="n">
        <v>2025</v>
      </c>
      <c r="K11" s="4"/>
    </row>
    <row r="12" customFormat="false" ht="12.8" hidden="false" customHeight="false" outlineLevel="0" collapsed="false">
      <c r="A12" s="4" t="n">
        <v>11</v>
      </c>
      <c r="B12" s="4" t="s">
        <v>10</v>
      </c>
      <c r="C12" s="4" t="s">
        <v>11</v>
      </c>
      <c r="D12" s="4" t="n">
        <v>37</v>
      </c>
      <c r="E12" s="4" t="s">
        <v>18</v>
      </c>
      <c r="F12" s="5" t="n">
        <v>450</v>
      </c>
      <c r="G12" s="4" t="s">
        <v>13</v>
      </c>
      <c r="H12" s="4" t="s">
        <v>14</v>
      </c>
      <c r="I12" s="4" t="s">
        <v>15</v>
      </c>
      <c r="J12" s="4" t="n">
        <v>2025</v>
      </c>
      <c r="K12" s="4"/>
    </row>
    <row r="13" customFormat="false" ht="12.8" hidden="false" customHeight="false" outlineLevel="0" collapsed="false">
      <c r="A13" s="4" t="n">
        <v>12</v>
      </c>
      <c r="B13" s="4" t="s">
        <v>16</v>
      </c>
      <c r="C13" s="4" t="s">
        <v>34</v>
      </c>
      <c r="D13" s="4" t="n">
        <v>31</v>
      </c>
      <c r="E13" s="4" t="s">
        <v>12</v>
      </c>
      <c r="F13" s="5" t="n">
        <v>300</v>
      </c>
      <c r="G13" s="4" t="s">
        <v>27</v>
      </c>
      <c r="H13" s="4" t="s">
        <v>14</v>
      </c>
      <c r="I13" s="4" t="s">
        <v>20</v>
      </c>
      <c r="J13" s="4" t="n">
        <v>2025</v>
      </c>
      <c r="K13" s="4"/>
    </row>
    <row r="14" customFormat="false" ht="12.8" hidden="false" customHeight="false" outlineLevel="0" collapsed="false">
      <c r="A14" s="4" t="n">
        <v>13</v>
      </c>
      <c r="B14" s="4" t="s">
        <v>25</v>
      </c>
      <c r="C14" s="4" t="s">
        <v>26</v>
      </c>
      <c r="D14" s="4" t="n">
        <v>27</v>
      </c>
      <c r="E14" s="4" t="s">
        <v>18</v>
      </c>
      <c r="F14" s="5" t="n">
        <v>220</v>
      </c>
      <c r="G14" s="4" t="s">
        <v>23</v>
      </c>
      <c r="H14" s="4" t="s">
        <v>14</v>
      </c>
      <c r="I14" s="4" t="s">
        <v>28</v>
      </c>
      <c r="J14" s="4" t="n">
        <v>2025</v>
      </c>
      <c r="K14" s="4"/>
    </row>
    <row r="15" customFormat="false" ht="12.8" hidden="false" customHeight="false" outlineLevel="0" collapsed="false">
      <c r="A15" s="4" t="n">
        <v>14</v>
      </c>
      <c r="B15" s="4" t="s">
        <v>21</v>
      </c>
      <c r="C15" s="4" t="s">
        <v>29</v>
      </c>
      <c r="D15" s="4" t="n">
        <v>55</v>
      </c>
      <c r="E15" s="4" t="s">
        <v>12</v>
      </c>
      <c r="F15" s="5" t="n">
        <v>5000</v>
      </c>
      <c r="G15" s="4" t="s">
        <v>30</v>
      </c>
      <c r="H15" s="4" t="s">
        <v>24</v>
      </c>
      <c r="I15" s="4" t="s">
        <v>15</v>
      </c>
      <c r="J15" s="4" t="n">
        <v>2025</v>
      </c>
      <c r="K15" s="4"/>
    </row>
    <row r="16" customFormat="false" ht="12.8" hidden="false" customHeight="false" outlineLevel="0" collapsed="false">
      <c r="A16" s="4" t="n">
        <v>15</v>
      </c>
      <c r="B16" s="4" t="s">
        <v>10</v>
      </c>
      <c r="C16" s="4" t="s">
        <v>11</v>
      </c>
      <c r="D16" s="4" t="n">
        <v>43</v>
      </c>
      <c r="E16" s="4" t="s">
        <v>18</v>
      </c>
      <c r="F16" s="5" t="n">
        <v>600</v>
      </c>
      <c r="G16" s="4" t="s">
        <v>13</v>
      </c>
      <c r="H16" s="4" t="s">
        <v>31</v>
      </c>
      <c r="I16" s="4" t="s">
        <v>15</v>
      </c>
      <c r="J16" s="4" t="n">
        <v>2025</v>
      </c>
      <c r="K16" s="4"/>
    </row>
    <row r="17" customFormat="false" ht="12.8" hidden="false" customHeight="false" outlineLevel="0" collapsed="false">
      <c r="A17" s="4" t="n">
        <v>16</v>
      </c>
      <c r="B17" s="4" t="s">
        <v>16</v>
      </c>
      <c r="C17" s="4" t="s">
        <v>17</v>
      </c>
      <c r="D17" s="4" t="n">
        <v>35</v>
      </c>
      <c r="E17" s="4" t="s">
        <v>12</v>
      </c>
      <c r="F17" s="5" t="n">
        <v>270</v>
      </c>
      <c r="G17" s="4" t="s">
        <v>19</v>
      </c>
      <c r="H17" s="4" t="s">
        <v>14</v>
      </c>
      <c r="I17" s="4" t="s">
        <v>20</v>
      </c>
      <c r="J17" s="4" t="n">
        <v>2025</v>
      </c>
      <c r="K17" s="4"/>
    </row>
    <row r="18" customFormat="false" ht="12.8" hidden="false" customHeight="false" outlineLevel="0" collapsed="false">
      <c r="A18" s="4" t="n">
        <v>17</v>
      </c>
      <c r="B18" s="4" t="s">
        <v>25</v>
      </c>
      <c r="C18" s="4" t="s">
        <v>26</v>
      </c>
      <c r="D18" s="4" t="n">
        <v>24</v>
      </c>
      <c r="E18" s="4" t="s">
        <v>18</v>
      </c>
      <c r="F18" s="5" t="n">
        <v>140</v>
      </c>
      <c r="G18" s="4" t="s">
        <v>27</v>
      </c>
      <c r="H18" s="4" t="s">
        <v>14</v>
      </c>
      <c r="I18" s="4" t="s">
        <v>32</v>
      </c>
      <c r="J18" s="4" t="n">
        <v>2025</v>
      </c>
      <c r="K18" s="4"/>
    </row>
    <row r="19" customFormat="false" ht="12.8" hidden="false" customHeight="false" outlineLevel="0" collapsed="false">
      <c r="A19" s="4" t="n">
        <v>18</v>
      </c>
      <c r="B19" s="4" t="s">
        <v>21</v>
      </c>
      <c r="C19" s="4" t="s">
        <v>22</v>
      </c>
      <c r="D19" s="4" t="n">
        <v>46</v>
      </c>
      <c r="E19" s="4" t="s">
        <v>12</v>
      </c>
      <c r="F19" s="5" t="n">
        <v>3900</v>
      </c>
      <c r="G19" s="4" t="s">
        <v>23</v>
      </c>
      <c r="H19" s="4" t="s">
        <v>24</v>
      </c>
      <c r="I19" s="4" t="s">
        <v>15</v>
      </c>
      <c r="J19" s="4" t="n">
        <v>2025</v>
      </c>
      <c r="K19" s="4"/>
    </row>
    <row r="20" customFormat="false" ht="12.8" hidden="false" customHeight="false" outlineLevel="0" collapsed="false">
      <c r="A20" s="4" t="n">
        <v>19</v>
      </c>
      <c r="B20" s="4" t="s">
        <v>10</v>
      </c>
      <c r="C20" s="4" t="s">
        <v>11</v>
      </c>
      <c r="D20" s="4" t="n">
        <v>39</v>
      </c>
      <c r="E20" s="4" t="s">
        <v>18</v>
      </c>
      <c r="F20" s="5" t="n">
        <v>520</v>
      </c>
      <c r="G20" s="4" t="s">
        <v>13</v>
      </c>
      <c r="H20" s="4" t="s">
        <v>14</v>
      </c>
      <c r="I20" s="4" t="s">
        <v>28</v>
      </c>
      <c r="J20" s="4" t="n">
        <v>2025</v>
      </c>
      <c r="K20" s="4"/>
    </row>
    <row r="21" customFormat="false" ht="12.8" hidden="false" customHeight="false" outlineLevel="0" collapsed="false">
      <c r="A21" s="4" t="n">
        <v>20</v>
      </c>
      <c r="B21" s="4" t="s">
        <v>16</v>
      </c>
      <c r="C21" s="4" t="s">
        <v>34</v>
      </c>
      <c r="D21" s="4" t="n">
        <v>32</v>
      </c>
      <c r="E21" s="4" t="s">
        <v>12</v>
      </c>
      <c r="F21" s="5" t="n">
        <v>310</v>
      </c>
      <c r="G21" s="4" t="s">
        <v>27</v>
      </c>
      <c r="H21" s="4" t="s">
        <v>14</v>
      </c>
      <c r="I21" s="4" t="s">
        <v>20</v>
      </c>
      <c r="J21" s="4" t="n">
        <v>2025</v>
      </c>
      <c r="K21" s="4"/>
    </row>
    <row r="22" customFormat="false" ht="12.8" hidden="false" customHeight="false" outlineLevel="0" collapsed="false">
      <c r="A22" s="4" t="n">
        <v>21</v>
      </c>
      <c r="B22" s="4" t="s">
        <v>10</v>
      </c>
      <c r="C22" s="4" t="s">
        <v>11</v>
      </c>
      <c r="D22" s="4" t="n">
        <v>44</v>
      </c>
      <c r="E22" s="4" t="s">
        <v>18</v>
      </c>
      <c r="F22" s="5" t="n">
        <v>480</v>
      </c>
      <c r="G22" s="4" t="s">
        <v>13</v>
      </c>
      <c r="H22" s="4" t="s">
        <v>14</v>
      </c>
      <c r="I22" s="4" t="s">
        <v>15</v>
      </c>
      <c r="J22" s="4" t="n">
        <v>2025</v>
      </c>
      <c r="K22" s="4"/>
    </row>
    <row r="23" customFormat="false" ht="12.8" hidden="false" customHeight="false" outlineLevel="0" collapsed="false">
      <c r="A23" s="4" t="n">
        <v>22</v>
      </c>
      <c r="B23" s="4" t="s">
        <v>25</v>
      </c>
      <c r="C23" s="4" t="s">
        <v>26</v>
      </c>
      <c r="D23" s="4" t="n">
        <v>29</v>
      </c>
      <c r="E23" s="4" t="s">
        <v>12</v>
      </c>
      <c r="F23" s="5" t="n">
        <v>210</v>
      </c>
      <c r="G23" s="4" t="s">
        <v>23</v>
      </c>
      <c r="H23" s="4" t="s">
        <v>14</v>
      </c>
      <c r="I23" s="4" t="s">
        <v>28</v>
      </c>
      <c r="J23" s="4" t="n">
        <v>2025</v>
      </c>
      <c r="K23" s="4"/>
    </row>
    <row r="24" customFormat="false" ht="12.8" hidden="false" customHeight="false" outlineLevel="0" collapsed="false">
      <c r="A24" s="4" t="n">
        <v>23</v>
      </c>
      <c r="B24" s="4" t="s">
        <v>21</v>
      </c>
      <c r="C24" s="4" t="s">
        <v>29</v>
      </c>
      <c r="D24" s="4" t="n">
        <v>51</v>
      </c>
      <c r="E24" s="4" t="s">
        <v>18</v>
      </c>
      <c r="F24" s="5" t="n">
        <v>4500</v>
      </c>
      <c r="G24" s="4" t="s">
        <v>30</v>
      </c>
      <c r="H24" s="4" t="s">
        <v>24</v>
      </c>
      <c r="I24" s="4" t="s">
        <v>15</v>
      </c>
      <c r="J24" s="4" t="n">
        <v>2025</v>
      </c>
      <c r="K24" s="4"/>
    </row>
    <row r="25" customFormat="false" ht="12.8" hidden="false" customHeight="false" outlineLevel="0" collapsed="false">
      <c r="A25" s="4" t="n">
        <v>24</v>
      </c>
      <c r="B25" s="4" t="s">
        <v>16</v>
      </c>
      <c r="C25" s="4" t="s">
        <v>17</v>
      </c>
      <c r="D25" s="4" t="n">
        <v>33</v>
      </c>
      <c r="E25" s="4" t="s">
        <v>12</v>
      </c>
      <c r="F25" s="5" t="n">
        <v>260</v>
      </c>
      <c r="G25" s="4" t="s">
        <v>13</v>
      </c>
      <c r="H25" s="4" t="s">
        <v>14</v>
      </c>
      <c r="I25" s="4" t="s">
        <v>20</v>
      </c>
      <c r="J25" s="4" t="n">
        <v>2025</v>
      </c>
      <c r="K25" s="4"/>
    </row>
    <row r="26" customFormat="false" ht="12.8" hidden="false" customHeight="false" outlineLevel="0" collapsed="false">
      <c r="A26" s="4" t="n">
        <v>25</v>
      </c>
      <c r="B26" s="4" t="s">
        <v>10</v>
      </c>
      <c r="C26" s="4" t="s">
        <v>11</v>
      </c>
      <c r="D26" s="4" t="n">
        <v>36</v>
      </c>
      <c r="E26" s="4" t="s">
        <v>18</v>
      </c>
      <c r="F26" s="5" t="n">
        <v>390</v>
      </c>
      <c r="G26" s="4" t="s">
        <v>19</v>
      </c>
      <c r="H26" s="4" t="s">
        <v>14</v>
      </c>
      <c r="I26" s="4" t="s">
        <v>28</v>
      </c>
      <c r="J26" s="4" t="n">
        <v>2025</v>
      </c>
      <c r="K26" s="4"/>
    </row>
    <row r="27" customFormat="false" ht="12.8" hidden="false" customHeight="false" outlineLevel="0" collapsed="false">
      <c r="A27" s="4" t="n">
        <v>26</v>
      </c>
      <c r="B27" s="4" t="s">
        <v>21</v>
      </c>
      <c r="C27" s="4" t="s">
        <v>22</v>
      </c>
      <c r="D27" s="4" t="n">
        <v>47</v>
      </c>
      <c r="E27" s="4" t="s">
        <v>12</v>
      </c>
      <c r="F27" s="5" t="n">
        <v>3800</v>
      </c>
      <c r="G27" s="4" t="s">
        <v>23</v>
      </c>
      <c r="H27" s="4" t="s">
        <v>33</v>
      </c>
      <c r="I27" s="4" t="s">
        <v>15</v>
      </c>
      <c r="J27" s="4" t="n">
        <v>2026</v>
      </c>
      <c r="K27" s="4"/>
    </row>
    <row r="28" customFormat="false" ht="12.8" hidden="false" customHeight="false" outlineLevel="0" collapsed="false">
      <c r="A28" s="4" t="n">
        <v>27</v>
      </c>
      <c r="B28" s="4" t="s">
        <v>25</v>
      </c>
      <c r="C28" s="4" t="s">
        <v>26</v>
      </c>
      <c r="D28" s="4" t="n">
        <v>25</v>
      </c>
      <c r="E28" s="4" t="s">
        <v>18</v>
      </c>
      <c r="F28" s="5" t="n">
        <v>160</v>
      </c>
      <c r="G28" s="4" t="s">
        <v>27</v>
      </c>
      <c r="H28" s="4" t="s">
        <v>14</v>
      </c>
      <c r="I28" s="4" t="s">
        <v>32</v>
      </c>
      <c r="J28" s="4" t="n">
        <v>2026</v>
      </c>
      <c r="K28" s="4"/>
    </row>
    <row r="29" customFormat="false" ht="12.8" hidden="false" customHeight="false" outlineLevel="0" collapsed="false">
      <c r="A29" s="4" t="n">
        <v>28</v>
      </c>
      <c r="B29" s="4" t="s">
        <v>16</v>
      </c>
      <c r="C29" s="4" t="s">
        <v>34</v>
      </c>
      <c r="D29" s="4" t="n">
        <v>30</v>
      </c>
      <c r="E29" s="4" t="s">
        <v>12</v>
      </c>
      <c r="F29" s="5" t="n">
        <v>280</v>
      </c>
      <c r="G29" s="4" t="s">
        <v>13</v>
      </c>
      <c r="H29" s="4" t="s">
        <v>14</v>
      </c>
      <c r="I29" s="4" t="s">
        <v>20</v>
      </c>
      <c r="J29" s="4" t="n">
        <v>2026</v>
      </c>
      <c r="K29" s="4"/>
    </row>
    <row r="30" customFormat="false" ht="12.8" hidden="false" customHeight="false" outlineLevel="0" collapsed="false">
      <c r="A30" s="4" t="n">
        <v>29</v>
      </c>
      <c r="B30" s="4" t="s">
        <v>10</v>
      </c>
      <c r="C30" s="4" t="s">
        <v>11</v>
      </c>
      <c r="D30" s="4" t="n">
        <v>42</v>
      </c>
      <c r="E30" s="4" t="s">
        <v>18</v>
      </c>
      <c r="F30" s="5" t="n">
        <v>610</v>
      </c>
      <c r="G30" s="4" t="s">
        <v>13</v>
      </c>
      <c r="H30" s="4" t="s">
        <v>14</v>
      </c>
      <c r="I30" s="4" t="s">
        <v>15</v>
      </c>
      <c r="J30" s="4" t="n">
        <v>2026</v>
      </c>
      <c r="K30" s="4"/>
    </row>
    <row r="31" customFormat="false" ht="12.8" hidden="false" customHeight="false" outlineLevel="0" collapsed="false">
      <c r="A31" s="4" t="n">
        <v>30</v>
      </c>
      <c r="B31" s="4" t="s">
        <v>21</v>
      </c>
      <c r="C31" s="4" t="s">
        <v>29</v>
      </c>
      <c r="D31" s="4" t="n">
        <v>53</v>
      </c>
      <c r="E31" s="4" t="s">
        <v>12</v>
      </c>
      <c r="F31" s="5" t="n">
        <v>4700</v>
      </c>
      <c r="G31" s="4" t="s">
        <v>30</v>
      </c>
      <c r="H31" s="4" t="s">
        <v>24</v>
      </c>
      <c r="I31" s="4" t="s">
        <v>15</v>
      </c>
      <c r="J31" s="4" t="n">
        <v>2026</v>
      </c>
      <c r="K31" s="4"/>
    </row>
    <row r="32" customFormat="false" ht="12.8" hidden="false" customHeight="false" outlineLevel="0" collapsed="false">
      <c r="A32" s="4" t="n">
        <v>31</v>
      </c>
      <c r="B32" s="4" t="s">
        <v>25</v>
      </c>
      <c r="C32" s="4" t="s">
        <v>26</v>
      </c>
      <c r="D32" s="4" t="n">
        <v>27</v>
      </c>
      <c r="E32" s="4" t="s">
        <v>12</v>
      </c>
      <c r="F32" s="5" t="n">
        <v>200</v>
      </c>
      <c r="G32" s="4" t="s">
        <v>23</v>
      </c>
      <c r="H32" s="4" t="s">
        <v>14</v>
      </c>
      <c r="I32" s="4" t="s">
        <v>28</v>
      </c>
      <c r="J32" s="4" t="n">
        <v>2026</v>
      </c>
      <c r="K32" s="4"/>
    </row>
    <row r="33" customFormat="false" ht="12.8" hidden="false" customHeight="false" outlineLevel="0" collapsed="false">
      <c r="A33" s="4" t="n">
        <v>32</v>
      </c>
      <c r="B33" s="4" t="s">
        <v>16</v>
      </c>
      <c r="C33" s="4" t="s">
        <v>17</v>
      </c>
      <c r="D33" s="4" t="n">
        <v>34</v>
      </c>
      <c r="E33" s="4" t="s">
        <v>18</v>
      </c>
      <c r="F33" s="5" t="n">
        <v>240</v>
      </c>
      <c r="G33" s="4" t="s">
        <v>27</v>
      </c>
      <c r="H33" s="4" t="s">
        <v>14</v>
      </c>
      <c r="I33" s="4" t="s">
        <v>20</v>
      </c>
      <c r="J33" s="4" t="n">
        <v>2026</v>
      </c>
      <c r="K33" s="4"/>
    </row>
    <row r="34" customFormat="false" ht="12.8" hidden="false" customHeight="false" outlineLevel="0" collapsed="false">
      <c r="A34" s="4" t="n">
        <v>33</v>
      </c>
      <c r="B34" s="4" t="s">
        <v>10</v>
      </c>
      <c r="C34" s="4" t="s">
        <v>11</v>
      </c>
      <c r="D34" s="4" t="n">
        <v>38</v>
      </c>
      <c r="E34" s="4" t="s">
        <v>12</v>
      </c>
      <c r="F34" s="5" t="n">
        <v>430</v>
      </c>
      <c r="G34" s="4" t="s">
        <v>13</v>
      </c>
      <c r="H34" s="4" t="s">
        <v>31</v>
      </c>
      <c r="I34" s="4" t="s">
        <v>15</v>
      </c>
      <c r="J34" s="4" t="n">
        <v>2026</v>
      </c>
      <c r="K34" s="4"/>
    </row>
    <row r="35" customFormat="false" ht="12.8" hidden="false" customHeight="false" outlineLevel="0" collapsed="false">
      <c r="A35" s="4" t="n">
        <v>34</v>
      </c>
      <c r="B35" s="4" t="s">
        <v>21</v>
      </c>
      <c r="C35" s="4" t="s">
        <v>22</v>
      </c>
      <c r="D35" s="4" t="n">
        <v>49</v>
      </c>
      <c r="E35" s="4" t="s">
        <v>18</v>
      </c>
      <c r="F35" s="5" t="n">
        <v>4100</v>
      </c>
      <c r="G35" s="4" t="s">
        <v>19</v>
      </c>
      <c r="H35" s="4" t="s">
        <v>24</v>
      </c>
      <c r="I35" s="4" t="s">
        <v>15</v>
      </c>
      <c r="J35" s="4" t="n">
        <v>2026</v>
      </c>
      <c r="K35" s="4"/>
    </row>
    <row r="36" customFormat="false" ht="12.8" hidden="false" customHeight="false" outlineLevel="0" collapsed="false">
      <c r="A36" s="4" t="n">
        <v>35</v>
      </c>
      <c r="B36" s="4" t="s">
        <v>25</v>
      </c>
      <c r="C36" s="4" t="s">
        <v>26</v>
      </c>
      <c r="D36" s="4" t="n">
        <v>23</v>
      </c>
      <c r="E36" s="4" t="s">
        <v>12</v>
      </c>
      <c r="F36" s="5" t="n">
        <v>130</v>
      </c>
      <c r="G36" s="4" t="s">
        <v>27</v>
      </c>
      <c r="H36" s="4" t="s">
        <v>14</v>
      </c>
      <c r="I36" s="4" t="s">
        <v>32</v>
      </c>
      <c r="J36" s="4" t="n">
        <v>2026</v>
      </c>
      <c r="K36" s="4"/>
    </row>
    <row r="37" customFormat="false" ht="12.8" hidden="false" customHeight="false" outlineLevel="0" collapsed="false">
      <c r="A37" s="4" t="n">
        <v>36</v>
      </c>
      <c r="B37" s="4" t="s">
        <v>16</v>
      </c>
      <c r="C37" s="4" t="s">
        <v>34</v>
      </c>
      <c r="D37" s="4" t="n">
        <v>31</v>
      </c>
      <c r="E37" s="4" t="s">
        <v>18</v>
      </c>
      <c r="F37" s="5" t="n">
        <v>290</v>
      </c>
      <c r="G37" s="4" t="s">
        <v>13</v>
      </c>
      <c r="H37" s="4" t="s">
        <v>14</v>
      </c>
      <c r="I37" s="4" t="s">
        <v>20</v>
      </c>
      <c r="J37" s="4" t="n">
        <v>2026</v>
      </c>
      <c r="K37" s="4"/>
    </row>
    <row r="38" customFormat="false" ht="12.8" hidden="false" customHeight="false" outlineLevel="0" collapsed="false">
      <c r="A38" s="4" t="n">
        <v>37</v>
      </c>
      <c r="B38" s="4" t="s">
        <v>10</v>
      </c>
      <c r="C38" s="4" t="s">
        <v>11</v>
      </c>
      <c r="D38" s="4" t="n">
        <v>46</v>
      </c>
      <c r="E38" s="4" t="s">
        <v>12</v>
      </c>
      <c r="F38" s="5" t="n">
        <v>550</v>
      </c>
      <c r="G38" s="4" t="s">
        <v>23</v>
      </c>
      <c r="H38" s="4" t="s">
        <v>14</v>
      </c>
      <c r="I38" s="4" t="s">
        <v>28</v>
      </c>
      <c r="J38" s="4" t="n">
        <v>2026</v>
      </c>
      <c r="K38" s="4"/>
    </row>
    <row r="39" customFormat="false" ht="12.8" hidden="false" customHeight="false" outlineLevel="0" collapsed="false">
      <c r="A39" s="4" t="n">
        <v>38</v>
      </c>
      <c r="B39" s="4" t="s">
        <v>21</v>
      </c>
      <c r="C39" s="4" t="s">
        <v>29</v>
      </c>
      <c r="D39" s="4" t="n">
        <v>54</v>
      </c>
      <c r="E39" s="4" t="s">
        <v>18</v>
      </c>
      <c r="F39" s="5" t="n">
        <v>5200</v>
      </c>
      <c r="G39" s="4" t="s">
        <v>30</v>
      </c>
      <c r="H39" s="4" t="s">
        <v>24</v>
      </c>
      <c r="I39" s="4" t="s">
        <v>15</v>
      </c>
      <c r="J39" s="4" t="n">
        <v>2026</v>
      </c>
      <c r="K39" s="4"/>
    </row>
    <row r="40" customFormat="false" ht="12.8" hidden="false" customHeight="false" outlineLevel="0" collapsed="false">
      <c r="A40" s="4" t="n">
        <v>39</v>
      </c>
      <c r="B40" s="4" t="s">
        <v>25</v>
      </c>
      <c r="C40" s="4" t="s">
        <v>26</v>
      </c>
      <c r="D40" s="4" t="n">
        <v>26</v>
      </c>
      <c r="E40" s="4" t="s">
        <v>12</v>
      </c>
      <c r="F40" s="5" t="n">
        <v>170</v>
      </c>
      <c r="G40" s="4" t="s">
        <v>27</v>
      </c>
      <c r="H40" s="4" t="s">
        <v>14</v>
      </c>
      <c r="I40" s="4" t="s">
        <v>20</v>
      </c>
      <c r="J40" s="4" t="n">
        <v>2026</v>
      </c>
      <c r="K40" s="4"/>
    </row>
    <row r="41" customFormat="false" ht="12.8" hidden="false" customHeight="false" outlineLevel="0" collapsed="false">
      <c r="A41" s="4" t="n">
        <v>40</v>
      </c>
      <c r="B41" s="4" t="s">
        <v>16</v>
      </c>
      <c r="C41" s="4" t="s">
        <v>17</v>
      </c>
      <c r="D41" s="4" t="n">
        <v>28</v>
      </c>
      <c r="E41" s="4" t="s">
        <v>18</v>
      </c>
      <c r="F41" s="5" t="n">
        <v>260</v>
      </c>
      <c r="G41" s="4" t="s">
        <v>13</v>
      </c>
      <c r="H41" s="4" t="s">
        <v>14</v>
      </c>
      <c r="I41" s="4" t="s">
        <v>32</v>
      </c>
      <c r="J41" s="4" t="n">
        <v>2026</v>
      </c>
      <c r="K41" s="4"/>
    </row>
    <row r="42" customFormat="false" ht="12.8" hidden="false" customHeight="false" outlineLevel="0" collapsed="false">
      <c r="A42" s="4" t="n">
        <v>41</v>
      </c>
      <c r="B42" s="4" t="s">
        <v>10</v>
      </c>
      <c r="C42" s="4" t="s">
        <v>11</v>
      </c>
      <c r="D42" s="4" t="n">
        <v>40</v>
      </c>
      <c r="E42" s="4" t="s">
        <v>12</v>
      </c>
      <c r="F42" s="5" t="n">
        <v>480</v>
      </c>
      <c r="G42" s="4" t="s">
        <v>13</v>
      </c>
      <c r="H42" s="4" t="s">
        <v>14</v>
      </c>
      <c r="I42" s="4" t="s">
        <v>15</v>
      </c>
      <c r="J42" s="4" t="n">
        <v>2026</v>
      </c>
      <c r="K42" s="4"/>
    </row>
    <row r="43" customFormat="false" ht="12.8" hidden="false" customHeight="false" outlineLevel="0" collapsed="false">
      <c r="A43" s="4" t="n">
        <v>42</v>
      </c>
      <c r="B43" s="4" t="s">
        <v>21</v>
      </c>
      <c r="C43" s="4" t="s">
        <v>22</v>
      </c>
      <c r="D43" s="4" t="n">
        <v>50</v>
      </c>
      <c r="E43" s="4" t="s">
        <v>18</v>
      </c>
      <c r="F43" s="5" t="n">
        <v>4300</v>
      </c>
      <c r="G43" s="4" t="s">
        <v>23</v>
      </c>
      <c r="H43" s="4" t="s">
        <v>33</v>
      </c>
      <c r="I43" s="4" t="s">
        <v>15</v>
      </c>
      <c r="J43" s="4" t="n">
        <v>2026</v>
      </c>
      <c r="K43" s="4"/>
    </row>
    <row r="44" customFormat="false" ht="12.8" hidden="false" customHeight="false" outlineLevel="0" collapsed="false">
      <c r="A44" s="4" t="n">
        <v>43</v>
      </c>
      <c r="B44" s="4" t="s">
        <v>25</v>
      </c>
      <c r="C44" s="4" t="s">
        <v>26</v>
      </c>
      <c r="D44" s="4" t="n">
        <v>24</v>
      </c>
      <c r="E44" s="4" t="s">
        <v>12</v>
      </c>
      <c r="F44" s="5" t="n">
        <v>150</v>
      </c>
      <c r="G44" s="4" t="s">
        <v>27</v>
      </c>
      <c r="H44" s="4" t="s">
        <v>14</v>
      </c>
      <c r="I44" s="4" t="s">
        <v>28</v>
      </c>
      <c r="J44" s="4" t="n">
        <v>2026</v>
      </c>
      <c r="K44" s="4"/>
    </row>
    <row r="45" customFormat="false" ht="12.8" hidden="false" customHeight="false" outlineLevel="0" collapsed="false">
      <c r="A45" s="4" t="n">
        <v>44</v>
      </c>
      <c r="B45" s="4" t="s">
        <v>16</v>
      </c>
      <c r="C45" s="4" t="s">
        <v>34</v>
      </c>
      <c r="D45" s="4" t="n">
        <v>35</v>
      </c>
      <c r="E45" s="4" t="s">
        <v>18</v>
      </c>
      <c r="F45" s="5" t="n">
        <v>300</v>
      </c>
      <c r="G45" s="4" t="s">
        <v>13</v>
      </c>
      <c r="H45" s="4" t="s">
        <v>14</v>
      </c>
      <c r="I45" s="4" t="s">
        <v>20</v>
      </c>
      <c r="J45" s="4" t="n">
        <v>2026</v>
      </c>
      <c r="K45" s="4"/>
    </row>
    <row r="46" customFormat="false" ht="12.8" hidden="false" customHeight="false" outlineLevel="0" collapsed="false">
      <c r="A46" s="4" t="n">
        <v>45</v>
      </c>
      <c r="B46" s="4" t="s">
        <v>10</v>
      </c>
      <c r="C46" s="4" t="s">
        <v>11</v>
      </c>
      <c r="D46" s="4" t="n">
        <v>41</v>
      </c>
      <c r="E46" s="4" t="s">
        <v>12</v>
      </c>
      <c r="F46" s="5" t="n">
        <v>510</v>
      </c>
      <c r="G46" s="4" t="s">
        <v>19</v>
      </c>
      <c r="H46" s="4" t="s">
        <v>31</v>
      </c>
      <c r="I46" s="4" t="s">
        <v>15</v>
      </c>
      <c r="J46" s="4" t="n">
        <v>2026</v>
      </c>
      <c r="K46" s="4"/>
    </row>
    <row r="47" customFormat="false" ht="12.8" hidden="false" customHeight="false" outlineLevel="0" collapsed="false">
      <c r="A47" s="4" t="n">
        <v>46</v>
      </c>
      <c r="B47" s="4" t="s">
        <v>21</v>
      </c>
      <c r="C47" s="4" t="s">
        <v>29</v>
      </c>
      <c r="D47" s="4" t="n">
        <v>56</v>
      </c>
      <c r="E47" s="4" t="s">
        <v>18</v>
      </c>
      <c r="F47" s="5" t="n">
        <v>5400</v>
      </c>
      <c r="G47" s="4" t="s">
        <v>30</v>
      </c>
      <c r="H47" s="4" t="s">
        <v>24</v>
      </c>
      <c r="I47" s="4" t="s">
        <v>15</v>
      </c>
      <c r="J47" s="4" t="n">
        <v>2026</v>
      </c>
      <c r="K47" s="4"/>
    </row>
    <row r="48" customFormat="false" ht="12.8" hidden="false" customHeight="false" outlineLevel="0" collapsed="false">
      <c r="A48" s="4" t="n">
        <v>47</v>
      </c>
      <c r="B48" s="4" t="s">
        <v>25</v>
      </c>
      <c r="C48" s="4" t="s">
        <v>26</v>
      </c>
      <c r="D48" s="4" t="n">
        <v>22</v>
      </c>
      <c r="E48" s="4" t="s">
        <v>12</v>
      </c>
      <c r="F48" s="5" t="n">
        <v>120</v>
      </c>
      <c r="G48" s="4" t="s">
        <v>27</v>
      </c>
      <c r="H48" s="4" t="s">
        <v>14</v>
      </c>
      <c r="I48" s="4" t="s">
        <v>32</v>
      </c>
      <c r="J48" s="4" t="n">
        <v>2026</v>
      </c>
      <c r="K48" s="4"/>
    </row>
    <row r="49" customFormat="false" ht="12.8" hidden="false" customHeight="false" outlineLevel="0" collapsed="false">
      <c r="A49" s="4" t="n">
        <v>48</v>
      </c>
      <c r="B49" s="4" t="s">
        <v>16</v>
      </c>
      <c r="C49" s="4" t="s">
        <v>17</v>
      </c>
      <c r="D49" s="4" t="n">
        <v>33</v>
      </c>
      <c r="E49" s="4" t="s">
        <v>18</v>
      </c>
      <c r="F49" s="5" t="n">
        <v>270</v>
      </c>
      <c r="G49" s="4" t="s">
        <v>13</v>
      </c>
      <c r="H49" s="4" t="s">
        <v>14</v>
      </c>
      <c r="I49" s="4" t="s">
        <v>20</v>
      </c>
      <c r="J49" s="4" t="n">
        <v>2026</v>
      </c>
      <c r="K49" s="4"/>
    </row>
    <row r="50" customFormat="false" ht="12.8" hidden="false" customHeight="false" outlineLevel="0" collapsed="false">
      <c r="A50" s="4" t="n">
        <v>49</v>
      </c>
      <c r="B50" s="4" t="s">
        <v>10</v>
      </c>
      <c r="C50" s="4" t="s">
        <v>11</v>
      </c>
      <c r="D50" s="4" t="n">
        <v>47</v>
      </c>
      <c r="E50" s="4" t="s">
        <v>12</v>
      </c>
      <c r="F50" s="5" t="n">
        <v>620</v>
      </c>
      <c r="G50" s="4" t="s">
        <v>23</v>
      </c>
      <c r="H50" s="4" t="s">
        <v>14</v>
      </c>
      <c r="I50" s="4" t="s">
        <v>28</v>
      </c>
      <c r="J50" s="4" t="n">
        <v>2026</v>
      </c>
      <c r="K50" s="4"/>
    </row>
    <row r="51" customFormat="false" ht="12.8" hidden="false" customHeight="false" outlineLevel="0" collapsed="false">
      <c r="A51" s="4" t="n">
        <v>50</v>
      </c>
      <c r="B51" s="4" t="s">
        <v>21</v>
      </c>
      <c r="C51" s="4" t="s">
        <v>22</v>
      </c>
      <c r="D51" s="4" t="n">
        <v>52</v>
      </c>
      <c r="E51" s="4" t="s">
        <v>18</v>
      </c>
      <c r="F51" s="5" t="n">
        <v>4600</v>
      </c>
      <c r="G51" s="4" t="s">
        <v>19</v>
      </c>
      <c r="H51" s="4" t="s">
        <v>24</v>
      </c>
      <c r="I51" s="4" t="s">
        <v>15</v>
      </c>
      <c r="J51" s="4" t="n">
        <v>2026</v>
      </c>
      <c r="K51" s="4"/>
    </row>
    <row r="53" s="1" customFormat="true" ht="12.8" hidden="false" customHeight="false" outlineLevel="0" collapsed="false"/>
    <row r="54" s="1" customFormat="true" ht="12.8" hidden="false" customHeight="false" outlineLevel="0" collapsed="false"/>
    <row r="55" s="1" customFormat="true" ht="12.8" hidden="false" customHeight="false" outlineLevel="0" collapsed="false"/>
    <row r="56" s="1" customFormat="true" ht="12.8" hidden="false" customHeight="false" outlineLevel="0" collapsed="false"/>
    <row r="57" s="1" customFormat="true" ht="12.8" hidden="false" customHeight="false" outlineLevel="0" collapsed="false"/>
    <row r="58" s="1" customFormat="true" ht="12.8" hidden="false" customHeight="false" outlineLevel="0" collapsed="false"/>
    <row r="59" s="1" customFormat="true" ht="12.8" hidden="false" customHeight="false" outlineLevel="0" collapsed="false"/>
    <row r="60" s="1" customFormat="true" ht="12.8" hidden="false" customHeight="false" outlineLevel="0" collapsed="false"/>
    <row r="61" s="1" customFormat="true" ht="12.8" hidden="false" customHeight="false" outlineLevel="0" collapsed="false"/>
    <row r="62" s="1" customFormat="true" ht="12.8" hidden="false" customHeight="false" outlineLevel="0" collapsed="false"/>
  </sheetData>
  <autoFilter ref="A1:J51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true" showRowColHeaders="true" showZeros="true" rightToLeft="false" tabSelected="false" showOutlineSymbols="true" defaultGridColor="true" view="normal" topLeftCell="A1" colorId="64" zoomScale="20" zoomScaleNormal="20" zoomScalePageLayoutView="100" workbookViewId="0">
      <selection pane="topLeft" activeCell="K35" activeCellId="0" sqref="K3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6" width="24.93"/>
    <col collapsed="false" customWidth="true" hidden="false" outlineLevel="0" max="3" min="3" style="6" width="15.66"/>
    <col collapsed="false" customWidth="true" hidden="false" outlineLevel="0" max="4" min="4" style="6" width="19.4"/>
    <col collapsed="false" customWidth="true" hidden="false" outlineLevel="0" max="5" min="5" style="6" width="18.47"/>
    <col collapsed="false" customWidth="true" hidden="false" outlineLevel="0" max="6" min="6" style="6" width="20.75"/>
    <col collapsed="false" customWidth="true" hidden="false" outlineLevel="0" max="7" min="7" style="6" width="29.42"/>
  </cols>
  <sheetData>
    <row r="1" customFormat="false" ht="12.8" hidden="false" customHeight="false" outlineLevel="0" collapsed="false">
      <c r="B1" s="7" t="s">
        <v>35</v>
      </c>
      <c r="C1" s="7"/>
      <c r="E1" s="7" t="s">
        <v>36</v>
      </c>
    </row>
    <row r="2" customFormat="false" ht="12.8" hidden="false" customHeight="false" outlineLevel="0" collapsed="false">
      <c r="B2" s="8"/>
      <c r="C2" s="8"/>
    </row>
    <row r="3" customFormat="false" ht="15" hidden="false" customHeight="false" outlineLevel="0" collapsed="false">
      <c r="B3" s="9" t="s">
        <v>37</v>
      </c>
      <c r="C3" s="9" t="s">
        <v>38</v>
      </c>
      <c r="D3" s="10"/>
      <c r="E3" s="11" t="s">
        <v>39</v>
      </c>
      <c r="F3" s="12" t="s">
        <v>40</v>
      </c>
      <c r="G3" s="13" t="s">
        <v>41</v>
      </c>
    </row>
    <row r="4" customFormat="false" ht="15" hidden="false" customHeight="false" outlineLevel="0" collapsed="false">
      <c r="B4" s="8" t="s">
        <v>42</v>
      </c>
      <c r="C4" s="14" t="n">
        <f aca="false">COUNTA('Raw data'!A2:A51)</f>
        <v>50</v>
      </c>
      <c r="D4" s="10"/>
      <c r="E4" s="15" t="s">
        <v>10</v>
      </c>
      <c r="F4" s="16" t="n">
        <f aca="false">COUNTIF('Raw data'!B2:B51,"Phishing")</f>
        <v>14</v>
      </c>
      <c r="G4" s="17" t="n">
        <f aca="false">SUMIF('Raw data'!B2:B51,"Phishing",'Raw data'!F2:F51)</f>
        <v>7140</v>
      </c>
    </row>
    <row r="5" customFormat="false" ht="15" hidden="false" customHeight="false" outlineLevel="0" collapsed="false">
      <c r="B5" s="18" t="s">
        <v>5</v>
      </c>
      <c r="C5" s="19" t="n">
        <f aca="false">SUM('Raw data'!F2:F51)</f>
        <v>67400</v>
      </c>
      <c r="D5" s="10"/>
      <c r="E5" s="20" t="s">
        <v>16</v>
      </c>
      <c r="F5" s="21" t="n">
        <f aca="false">COUNTIF('Raw data'!B2:B51,"lottery scam")</f>
        <v>12</v>
      </c>
      <c r="G5" s="22" t="n">
        <f aca="false">SUMIF('Raw data'!B2:B51,"Lottery Scam",'Raw data'!F2:F51)</f>
        <v>3230</v>
      </c>
    </row>
    <row r="6" customFormat="false" ht="15" hidden="false" customHeight="false" outlineLevel="0" collapsed="false">
      <c r="B6" s="8" t="s">
        <v>43</v>
      </c>
      <c r="C6" s="23" t="n">
        <f aca="false">AVERAGE('Raw data'!D2:D51)</f>
        <v>37.96</v>
      </c>
      <c r="D6" s="10"/>
      <c r="E6" s="15" t="s">
        <v>21</v>
      </c>
      <c r="F6" s="16" t="n">
        <f aca="false">COUNTIF('Raw data'!B2:B51,"Investment Scam")</f>
        <v>13</v>
      </c>
      <c r="G6" s="17" t="n">
        <f aca="false">SUMIF('Raw data'!B2:B51,"Investment Scam",'Raw data'!F2:F51)</f>
        <v>55200</v>
      </c>
    </row>
    <row r="7" customFormat="false" ht="15" hidden="false" customHeight="false" outlineLevel="0" collapsed="false">
      <c r="B7" s="8" t="s">
        <v>44</v>
      </c>
      <c r="C7" s="24" t="n">
        <f aca="false">MAX('Raw data'!F2:F51)</f>
        <v>5400</v>
      </c>
      <c r="D7" s="10"/>
      <c r="E7" s="20" t="s">
        <v>25</v>
      </c>
      <c r="F7" s="21" t="n">
        <f aca="false">COUNTIF('Raw data'!B2:B51,"Fake Shopping")</f>
        <v>11</v>
      </c>
      <c r="G7" s="22" t="n">
        <f aca="false">SUMIF('Raw data'!B2:B51,"Fake Shopping",'Raw data'!F2:F51)</f>
        <v>1830</v>
      </c>
    </row>
    <row r="8" customFormat="false" ht="15" hidden="false" customHeight="false" outlineLevel="0" collapsed="false">
      <c r="B8" s="25" t="s">
        <v>45</v>
      </c>
      <c r="C8" s="26" t="n">
        <f aca="false">MIN('Raw data'!F2:F51)</f>
        <v>120</v>
      </c>
      <c r="D8" s="10"/>
      <c r="E8" s="27" t="s">
        <v>46</v>
      </c>
      <c r="F8" s="28" t="n">
        <f aca="false">SUM(F4:F7)</f>
        <v>50</v>
      </c>
      <c r="G8" s="29"/>
    </row>
    <row r="9" customFormat="false" ht="12.8" hidden="false" customHeight="false" outlineLevel="0" collapsed="false">
      <c r="B9" s="8"/>
      <c r="C9" s="24"/>
      <c r="D9" s="10"/>
      <c r="E9" s="10"/>
      <c r="F9" s="10"/>
      <c r="G9" s="10"/>
    </row>
    <row r="10" customFormat="false" ht="12.8" hidden="false" customHeight="false" outlineLevel="0" collapsed="false">
      <c r="B10" s="30" t="s">
        <v>47</v>
      </c>
      <c r="C10" s="30" t="s">
        <v>48</v>
      </c>
      <c r="D10" s="10"/>
      <c r="E10" s="7" t="s">
        <v>49</v>
      </c>
      <c r="F10" s="10"/>
      <c r="G10" s="10"/>
    </row>
    <row r="11" customFormat="false" ht="12.8" hidden="false" customHeight="false" outlineLevel="0" collapsed="false">
      <c r="B11" s="31" t="s">
        <v>50</v>
      </c>
      <c r="C11" s="14" t="n">
        <f aca="false">COUNTIF('Raw data'!I2:I51,"Cyber Crime Portal")</f>
        <v>22</v>
      </c>
      <c r="D11" s="10"/>
      <c r="E11" s="10"/>
      <c r="F11" s="10"/>
      <c r="G11" s="10"/>
    </row>
    <row r="12" customFormat="false" ht="15" hidden="false" customHeight="false" outlineLevel="0" collapsed="false">
      <c r="B12" s="32" t="s">
        <v>20</v>
      </c>
      <c r="C12" s="33" t="n">
        <f aca="false">COUNTIF('Raw data'!I2:I51,"Local Police")</f>
        <v>12</v>
      </c>
      <c r="D12" s="10"/>
      <c r="E12" s="11" t="s">
        <v>51</v>
      </c>
      <c r="F12" s="12" t="s">
        <v>40</v>
      </c>
      <c r="G12" s="13" t="s">
        <v>52</v>
      </c>
    </row>
    <row r="13" customFormat="false" ht="15" hidden="false" customHeight="false" outlineLevel="0" collapsed="false">
      <c r="B13" s="31" t="s">
        <v>28</v>
      </c>
      <c r="C13" s="14" t="n">
        <f aca="false">COUNTIF('Raw data'!I2:I51,"Bank")</f>
        <v>10</v>
      </c>
      <c r="D13" s="10"/>
      <c r="E13" s="15" t="s">
        <v>53</v>
      </c>
      <c r="F13" s="16" t="n">
        <f aca="false">COUNTIF('Raw data'!C2:C51,"Whatsapp")</f>
        <v>7</v>
      </c>
      <c r="G13" s="17" t="n">
        <f aca="false">SUMIF('Raw data'!C2:C51,"Whatsapp",'Raw data'!F2:F51)</f>
        <v>1750</v>
      </c>
    </row>
    <row r="14" customFormat="false" ht="15" hidden="false" customHeight="false" outlineLevel="0" collapsed="false">
      <c r="B14" s="34" t="s">
        <v>54</v>
      </c>
      <c r="C14" s="35" t="n">
        <f aca="false">COUNTIF('Raw data'!I2:I51,"Not Reported")</f>
        <v>6</v>
      </c>
      <c r="D14" s="10"/>
      <c r="E14" s="20" t="s">
        <v>22</v>
      </c>
      <c r="F14" s="21" t="n">
        <f aca="false">COUNTIF('Raw data'!C2:C51,"Instagram")</f>
        <v>7</v>
      </c>
      <c r="G14" s="22" t="n">
        <f aca="false">SUMIF('Raw data'!C2:C51,"Instagram",'Raw data'!F2:F51)</f>
        <v>26900</v>
      </c>
    </row>
    <row r="15" customFormat="false" ht="15" hidden="false" customHeight="false" outlineLevel="0" collapsed="false">
      <c r="B15" s="36"/>
      <c r="C15" s="36"/>
      <c r="D15" s="10"/>
      <c r="E15" s="15" t="s">
        <v>11</v>
      </c>
      <c r="F15" s="16" t="n">
        <f aca="false">COUNTIF('Raw data'!C2:C51,"Email")</f>
        <v>14</v>
      </c>
      <c r="G15" s="17" t="n">
        <f aca="false">SUMIF('Raw data'!C2:C51,"Email",'Raw data'!F2:F51)</f>
        <v>7140</v>
      </c>
    </row>
    <row r="16" customFormat="false" ht="15" hidden="false" customHeight="false" outlineLevel="0" collapsed="false">
      <c r="B16" s="9" t="s">
        <v>55</v>
      </c>
      <c r="C16" s="37" t="str">
        <f aca="false" t="array" ref="C16:C19">_xlfn.UNIQUE('Raw data'!H2:H51)</f>
        <v>India</v>
      </c>
      <c r="D16" s="10"/>
      <c r="E16" s="20" t="s">
        <v>26</v>
      </c>
      <c r="F16" s="21" t="n">
        <f aca="false">COUNTIF('Raw data'!C2:C51,"Website")</f>
        <v>11</v>
      </c>
      <c r="G16" s="22" t="n">
        <f aca="false">SUMIF('Raw data'!C2:C51,"Website",'Raw data'!F2:F51)</f>
        <v>1830</v>
      </c>
    </row>
    <row r="17" customFormat="false" ht="15" hidden="false" customHeight="false" outlineLevel="0" collapsed="false">
      <c r="B17" s="36"/>
      <c r="C17" s="14" t="str">
        <v>USA</v>
      </c>
      <c r="D17" s="10"/>
      <c r="E17" s="15" t="s">
        <v>34</v>
      </c>
      <c r="F17" s="16" t="n">
        <f aca="false">COUNTIF('Raw data'!C2:C51,"Facebook")</f>
        <v>5</v>
      </c>
      <c r="G17" s="17" t="n">
        <f aca="false">SUMIF('Raw data'!C2:C51,"Facebook",'Raw data'!F2:F51)</f>
        <v>1480</v>
      </c>
    </row>
    <row r="18" customFormat="false" ht="15" hidden="false" customHeight="false" outlineLevel="0" collapsed="false">
      <c r="B18" s="36"/>
      <c r="C18" s="14" t="str">
        <v>UK</v>
      </c>
      <c r="D18" s="10"/>
      <c r="E18" s="20" t="s">
        <v>29</v>
      </c>
      <c r="F18" s="21" t="n">
        <f aca="false">COUNTIF('Raw data'!C2:C51,"telegram")</f>
        <v>6</v>
      </c>
      <c r="G18" s="22" t="n">
        <f aca="false">SUMIF('Raw data'!C2:C51,"Telegram",'Raw data'!F2:F51)</f>
        <v>28300</v>
      </c>
    </row>
    <row r="19" customFormat="false" ht="15" hidden="false" customHeight="false" outlineLevel="0" collapsed="false">
      <c r="B19" s="38"/>
      <c r="C19" s="35" t="str">
        <v>Canada</v>
      </c>
      <c r="E19" s="27" t="s">
        <v>46</v>
      </c>
      <c r="F19" s="28" t="n">
        <f aca="false">SUM(F13:F18)</f>
        <v>50</v>
      </c>
      <c r="G19" s="29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H75"/>
  <sheetViews>
    <sheetView showFormulas="false" showGridLines="false" showRowColHeaders="true" showZeros="true" rightToLeft="false" tabSelected="true" showOutlineSymbols="true" defaultGridColor="true" view="normal" topLeftCell="A1" colorId="64" zoomScale="20" zoomScaleNormal="20" zoomScalePageLayoutView="100" workbookViewId="0">
      <selection pane="topLeft" activeCell="AC140" activeCellId="0" sqref="AC14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6" width="13.01"/>
    <col collapsed="false" customWidth="true" hidden="false" outlineLevel="0" max="2" min="2" style="6" width="14.39"/>
    <col collapsed="false" customWidth="true" hidden="false" outlineLevel="0" max="3" min="3" style="6" width="15.18"/>
    <col collapsed="false" customWidth="true" hidden="false" outlineLevel="0" max="4" min="4" style="6" width="15.77"/>
    <col collapsed="false" customWidth="true" hidden="false" outlineLevel="0" max="5" min="5" style="6" width="16.56"/>
    <col collapsed="false" customWidth="true" hidden="false" outlineLevel="0" max="8" min="8" style="6" width="20.7"/>
    <col collapsed="false" customWidth="true" hidden="false" outlineLevel="0" max="9" min="9" style="6" width="34.3"/>
    <col collapsed="false" customWidth="true" hidden="false" outlineLevel="0" max="10" min="10" style="6" width="24.06"/>
  </cols>
  <sheetData>
    <row r="1" customFormat="false" ht="48.05" hidden="false" customHeight="false" outlineLevel="0" collapsed="false">
      <c r="H1" s="39" t="s">
        <v>56</v>
      </c>
      <c r="I1" s="40"/>
      <c r="J1" s="41"/>
      <c r="K1" s="41"/>
      <c r="L1" s="41"/>
      <c r="N1" s="41"/>
    </row>
    <row r="3" customFormat="false" ht="48.05" hidden="false" customHeight="false" outlineLevel="0" collapsed="false">
      <c r="H3" s="39" t="s">
        <v>57</v>
      </c>
      <c r="I3" s="42"/>
      <c r="J3" s="42"/>
      <c r="K3" s="42"/>
      <c r="L3" s="42"/>
      <c r="M3" s="42"/>
    </row>
    <row r="4" customFormat="false" ht="18.55" hidden="false" customHeight="false" outlineLevel="0" collapsed="false">
      <c r="H4" s="43"/>
    </row>
    <row r="5" customFormat="false" ht="18.55" hidden="false" customHeight="false" outlineLevel="0" collapsed="false">
      <c r="H5" s="43"/>
    </row>
    <row r="6" customFormat="false" ht="29.15" hidden="false" customHeight="false" outlineLevel="0" collapsed="false">
      <c r="E6" s="44"/>
      <c r="H6" s="43"/>
      <c r="I6" s="45" t="s">
        <v>42</v>
      </c>
      <c r="J6" s="45" t="n">
        <v>50</v>
      </c>
    </row>
    <row r="7" customFormat="false" ht="29.15" hidden="false" customHeight="false" outlineLevel="0" collapsed="false">
      <c r="H7" s="43"/>
      <c r="I7" s="45" t="s">
        <v>58</v>
      </c>
      <c r="J7" s="46" t="n">
        <v>67500</v>
      </c>
    </row>
    <row r="8" customFormat="false" ht="29.15" hidden="false" customHeight="false" outlineLevel="0" collapsed="false">
      <c r="H8" s="43"/>
      <c r="I8" s="45" t="s">
        <v>59</v>
      </c>
      <c r="J8" s="45" t="n">
        <v>38</v>
      </c>
    </row>
    <row r="9" customFormat="false" ht="29.15" hidden="false" customHeight="false" outlineLevel="0" collapsed="false">
      <c r="I9" s="45" t="s">
        <v>60</v>
      </c>
      <c r="J9" s="46" t="n">
        <v>5400</v>
      </c>
    </row>
    <row r="10" customFormat="false" ht="29.15" hidden="false" customHeight="false" outlineLevel="0" collapsed="false">
      <c r="I10" s="45" t="s">
        <v>61</v>
      </c>
      <c r="J10" s="46" t="n">
        <v>120</v>
      </c>
    </row>
    <row r="52" customFormat="false" ht="48.05" hidden="false" customHeight="false" outlineLevel="0" collapsed="false">
      <c r="AH52" s="47"/>
    </row>
    <row r="53" customFormat="false" ht="24.45" hidden="false" customHeight="false" outlineLevel="0" collapsed="false">
      <c r="AH53" s="48"/>
    </row>
    <row r="75" customFormat="false" ht="12.8" hidden="false" customHeight="false" outlineLevel="0" collapsed="false">
      <c r="AB75" s="6" t="s">
        <v>62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2026-03-07T12:09:48Z</dcterms:created>
  <dc:creator/>
  <dc:description/>
  <dc:language>en-IN</dc:language>
  <cp:lastModifiedBy/>
  <cp:lastPrinted>2026-03-08T02:51:04Z</cp:lastPrinted>
  <dcterms:modified xsi:type="dcterms:W3CDTF">2026-03-08T02:54:06Z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